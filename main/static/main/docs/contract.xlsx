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WORK/_izi/"/>
    </mc:Choice>
  </mc:AlternateContent>
  <xr:revisionPtr revIDLastSave="0" documentId="8_{728167F4-3DE8-5440-B111-E8E505EEBF5D}" xr6:coauthVersionLast="45" xr6:coauthVersionMax="45" xr10:uidLastSave="{00000000-0000-0000-0000-000000000000}"/>
  <bookViews>
    <workbookView xWindow="680" yWindow="960" windowWidth="27840" windowHeight="15900" xr2:uid="{DD93C4E6-2D18-8249-A528-3B18C0157BAA}"/>
  </bookViews>
  <sheets>
    <sheet name="Договор" sheetId="1" r:id="rId1"/>
  </sheets>
  <externalReferences>
    <externalReference r:id="rId2"/>
  </externalReferences>
  <definedNames>
    <definedName name="_ref_21267932" localSheetId="0">Договор!$B$11</definedName>
    <definedName name="_ref_21399097" localSheetId="0">Договор!$B$16</definedName>
    <definedName name="_ref_21602947" localSheetId="0">Договор!$A$26</definedName>
    <definedName name="_ref_21644131" localSheetId="0">Договор!$A$27</definedName>
    <definedName name="_ref_21644134" localSheetId="0">Договор!$A$28</definedName>
    <definedName name="_ref_21830081" localSheetId="0">Договор!$A$29</definedName>
    <definedName name="_ref_22563526" localSheetId="0">Договор!$B$52</definedName>
    <definedName name="_ref_22811750" localSheetId="0">Договор!$B$59</definedName>
    <definedName name="_ref_22867809" localSheetId="0">Договор!$B$60</definedName>
    <definedName name="_ref_22867810" localSheetId="0">Договор!$B$62</definedName>
    <definedName name="_ref_22867811" localSheetId="0">Договор!$B$63</definedName>
    <definedName name="_ref_22867812" localSheetId="0">Договор!$B$64</definedName>
    <definedName name="_ref_51449968" localSheetId="0">Договор!$B$65</definedName>
    <definedName name="Ед.изм.">[1]База!$A$11:$A$15</definedName>
    <definedName name="var">[1]База!$A$18:$A$20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02" i="1" l="1"/>
  <c r="A102" i="1"/>
  <c r="A89" i="1"/>
  <c r="A88" i="1"/>
  <c r="A87" i="1"/>
  <c r="A86" i="1"/>
  <c r="A84" i="1"/>
  <c r="A82" i="1"/>
  <c r="A80" i="1"/>
  <c r="B34" i="1"/>
  <c r="B25" i="1"/>
  <c r="B19" i="1"/>
  <c r="B16" i="1"/>
  <c r="B12" i="1"/>
  <c r="F4" i="1"/>
  <c r="A2" i="1"/>
</calcChain>
</file>

<file path=xl/sharedStrings.xml><?xml version="1.0" encoding="utf-8"?>
<sst xmlns="http://schemas.openxmlformats.org/spreadsheetml/2006/main" count="145" uniqueCount="143">
  <si>
    <t>г. Санкт-Петербург</t>
  </si>
  <si>
    <t>Маловецкий Александр Павлович  далее именуемое «Заказчик»  с одной стороны, и общество с ограниченной отвественностью "Изобретатели Декора", в лице Генерального директора Наринян Н.А.,действущей на основании устава, именуемое в дальнейшем «Исполнитель», с другой стороны заключили настоящий договор (далее - Договор) о нижеследующем:"</t>
  </si>
  <si>
    <t>1. Предмет договора</t>
  </si>
  <si>
    <t>1.1.</t>
  </si>
  <si>
    <t>Исполнитель обязуется выполнить работу согласно Приложению № 1 к Договору ("Заказ-Договор") и сдать ее результат Заказчику, а Заказчик обязуется принять результат работы и оплатить его.</t>
  </si>
  <si>
    <t>2. Качество работы и гарантийный срок</t>
  </si>
  <si>
    <t>2.1.</t>
  </si>
  <si>
    <t>Качество выполненной работы должно соответствовать требованиям, указанным в Приложении № 1 к Договору ("Заказ-Договор")</t>
  </si>
  <si>
    <t>2.2.</t>
  </si>
  <si>
    <t>Гарантийный срок.</t>
  </si>
  <si>
    <t>2.2.1.</t>
  </si>
  <si>
    <t>2.2.2.</t>
  </si>
  <si>
    <t>Гарантия не распространяется на повреждения, вызванные нарушением правил, перечисленных в п.2.2.1 настоящего Договора, а также при наличии механических повреждений и в случае проведения самостоятельного монтажа и ремонта Изделия.</t>
  </si>
  <si>
    <t>2.2.3.</t>
  </si>
  <si>
    <t>В случае, когда требования по гарантийному ремонту признаны недействительными, Заказчик обязан возместить Исполнителю расходы, понесенные им вследствие необоснованной претензии.</t>
  </si>
  <si>
    <t>3. Цена работы и порядок оплаты</t>
  </si>
  <si>
    <t>3.1.</t>
  </si>
  <si>
    <t>3.2.</t>
  </si>
  <si>
    <t>Цена является твердой и изменению не подлежит.</t>
  </si>
  <si>
    <t>3.3.</t>
  </si>
  <si>
    <t>В цену работы, указанную в Договоре, включаются компенсация издержек Исполнителя и причитающееся ему вознаграждение.</t>
  </si>
  <si>
    <t>3.4.</t>
  </si>
  <si>
    <t>3.5.</t>
  </si>
  <si>
    <t>Расчеты по Договору могут быть произведены следующими способами:</t>
  </si>
  <si>
    <t>- путем внесения наличных денежных средств в кассу Исполнителя;</t>
  </si>
  <si>
    <t>- платежными поручениями.</t>
  </si>
  <si>
    <t>3.6.</t>
  </si>
  <si>
    <t>Обязательство Заказчика по оплате считается исполненным в момент зачисления денежных средств на расчетный счет Исполнителя или внесения Заказчиком денежных средств в кассу Исполнителя.</t>
  </si>
  <si>
    <t>4. Сроки и условия выполнения работы</t>
  </si>
  <si>
    <t>4.1.</t>
  </si>
  <si>
    <t>4.2.</t>
  </si>
  <si>
    <t>Исполнитель обязуется предоставить все материалы и оборудование, необходимые для выполнения работы.</t>
  </si>
  <si>
    <t>4.3.</t>
  </si>
  <si>
    <t>Риск случайной гибели или случайного повреждения материалов, оборудования и иного предоставленного Исполнителем имущества несет Исполнитель.</t>
  </si>
  <si>
    <t>4.4.</t>
  </si>
  <si>
    <t>Исполнитель вправе привлечь к исполнению своих обязательств по Договору третьих лиц.</t>
  </si>
  <si>
    <t>5. Приемка выполненной работы</t>
  </si>
  <si>
    <t>5.1.</t>
  </si>
  <si>
    <t>Заказчик обязан заблаговременно предупредить о всех скрытых коммуникациях на объекте до момента монтажа Изделий.</t>
  </si>
  <si>
    <t>5.2.</t>
  </si>
  <si>
    <t>О готовности изделия Исполнитель уведомляет Заказчика письменно, по электронной почте или по телефону.</t>
  </si>
  <si>
    <t>5.3.</t>
  </si>
  <si>
    <t>Заказчик обязан с участием Исполнителя осмотреть и принять выполненную работу (ее результат), а при обнаружении отступлений от Договора, ухудшающих результат работы, или иных недостатков в работе немедленно заявить об этом Исполнителю.</t>
  </si>
  <si>
    <t>5.4.</t>
  </si>
  <si>
    <t xml:space="preserve">Заказчик обязуется осуществить с участием Исполнителя приемку результата работы (осмотр, проверку и принятие) после истечения конечного срока выполнения работы. </t>
  </si>
  <si>
    <t>5.5.</t>
  </si>
  <si>
    <t>5.6.</t>
  </si>
  <si>
    <t>Исполнитель обязан передать Заказчику вместе с результатом работы информацию, касающуюся эксплуатации или иного использования результата работы.</t>
  </si>
  <si>
    <t>5.7.</t>
  </si>
  <si>
    <t>Извещение об обнаружении Заказчиком скрытых недостатков в результате работы должно быть направлено Исполнителю не позднее 5 дней с момента их обнаружения.</t>
  </si>
  <si>
    <t>5.8.</t>
  </si>
  <si>
    <t>Риск случайной гибели или случайного повреждения результата выполненной работы до ее приемки Заказчиком несет Исполнитель.</t>
  </si>
  <si>
    <t>6. Права и обязанность сторон</t>
  </si>
  <si>
    <t>6.1.</t>
  </si>
  <si>
    <t>Стороны обязуются немедленно информировать друг друга о затруднениях, препятствующих исполнению обязательств, с целью своевременного принятия необходимых мер.</t>
  </si>
  <si>
    <t>6.2.</t>
  </si>
  <si>
    <t>При возникновении отклонений от плановых сроков поставки, комплектующих или отсутствии их у поставщиков Исполнителя, Исполнитель в течение 10 рабочих дней со дня заключения настоящего Договора уведомляет Заказчика об этом, а также о сроках изменения Договора. При этом стороны договариваются о новом сроке выполнения заказа.</t>
  </si>
  <si>
    <t>7. Прочие условия договора</t>
  </si>
  <si>
    <t>7.1.</t>
  </si>
  <si>
    <t>Заказчик соглашается, что незначительное отклонение в цвете или структуре материала изделия по отношению к образцам могут иметь место и не могут являться причиной для предъявления претензий к Исполнителю.</t>
  </si>
  <si>
    <t>7.2.</t>
  </si>
  <si>
    <t>При пошиве изделия из ткани Заказчика Исполнитель в праве вернуть ткань Заказчика и отказаться от своих обязательств, при обнаружении дефектов ткани.</t>
  </si>
  <si>
    <t>8. Ответственность сторон</t>
  </si>
  <si>
    <t>8.1.</t>
  </si>
  <si>
    <t>В случае просрочки выполнения работы Заказчик вправе потребовать уплаты Исполнителем пени в размере 0,1 % цены работы за каждый день просрочки.</t>
  </si>
  <si>
    <t>8.2.</t>
  </si>
  <si>
    <t>В случае просрочки внесения предоплаты Исполнитель вправе потребовать уплаты Заказчиком пени в размере 0,1 % суммы задолженности за каждый день просрочки.</t>
  </si>
  <si>
    <t>8.3.</t>
  </si>
  <si>
    <t>Срок хранения готового заказа в салоне не превышает 21 (двадцать один) календарный день. По окончании этого срока Заказчику может быть начислена неустойка в размере 0,1% от стоимости заказа за каждый день хранения.</t>
  </si>
  <si>
    <t>8.4.</t>
  </si>
  <si>
    <t>При отказе от заказа Заказчик выплачивает стоимость выполненной работы и израсходованных материалов на момент уведомления об отказе от заказа (Закон о защите прав потребителей глава III, статья 32 в ред. ФЗ №212-ФЗ от 17.12.99). Переделка заказа считается частным случаем отказа от отдельных операций исполнения изделия.</t>
  </si>
  <si>
    <t>8.5.</t>
  </si>
  <si>
    <t>В случае частичного исполнения заказа Заказчик не может отказаться от выполненной его части.</t>
  </si>
  <si>
    <t>8.6.</t>
  </si>
  <si>
    <t>Рекламации принимаются только на основании данного Договора.</t>
  </si>
  <si>
    <t>9. Изменение и расторжение договора</t>
  </si>
  <si>
    <t>9.1.</t>
  </si>
  <si>
    <t>По требованию одной из сторон Договор может быть изменен или расторгнут по решению суда только:</t>
  </si>
  <si>
    <t>1) при существенном нарушении Договора другой стороной;</t>
  </si>
  <si>
    <t>2) в иных случаях, предусмотренных Гражданским кодексом РФ или другими законами.</t>
  </si>
  <si>
    <t>Существенным признается нарушение, которое влечет такой ущерб для другой стороны, что она в значительной степени лишается того, на что рассчитывала при заключении Договора.</t>
  </si>
  <si>
    <t>9.2.</t>
  </si>
  <si>
    <t>Расторжение Договора</t>
  </si>
  <si>
    <t>9.2.1.</t>
  </si>
  <si>
    <t>Заказчик не вправе в одностороннем порядке отказаться от исполнения Договора в соответствии со ст. 717 ГК РФ.</t>
  </si>
  <si>
    <t>10. Разрешение споров</t>
  </si>
  <si>
    <t>10.1.</t>
  </si>
  <si>
    <t>Претензионный порядок разрешения споров</t>
  </si>
  <si>
    <t>10.1.1.</t>
  </si>
  <si>
    <t>До предъявления иска, вытекающего из Договора, сторона, считающая, что ее права нарушены (далее - заинтересованная сторона), обязана направить другой стороне письменную претензию.</t>
  </si>
  <si>
    <t>10.1.2.</t>
  </si>
  <si>
    <t>Претензии принимаются в течение 14 дней с момента передачи изделия Заказчику. При этом Заказчик обязан возвратить изделие по месту заказа (если Заказчиком не оплачивалась доставка, установка или развеска). В случае, когда претензии признаны недействительными, Заказчик обязан возместить Исполнителю расходы, понесенные им вследствие предъявления необоснованной претензии.</t>
  </si>
  <si>
    <t>10.1.3.</t>
  </si>
  <si>
    <t>Претензия должна содержать требования заинтересованной стороны и их обоснование с указанием нарушенных другой стороной норм законодательства и (или) условий Договора. К претензии должны быть приложены копии документов, подтверждающих изложенные в ней обстоятельства.</t>
  </si>
  <si>
    <t>10.1.4.</t>
  </si>
  <si>
    <t>Сторона, которая получила претензию, обязана ее рассмотреть и в течение 30 дней направить письменный мотивированный ответ другой стороне.</t>
  </si>
  <si>
    <t>10.1.5.</t>
  </si>
  <si>
    <t>В случае неполучения ответа в указанный срок либо несогласия с ответом заинтересованная сторона вправе обратиться в суд.</t>
  </si>
  <si>
    <t>10.2.</t>
  </si>
  <si>
    <t>Все споры передаются на рассмотрение в арбитражный суд Санкт-Петербурга и Ленинградской области.</t>
  </si>
  <si>
    <t>11. Заключительные положения</t>
  </si>
  <si>
    <t>11.1.</t>
  </si>
  <si>
    <t>Договор вступает в силу и становится обязательным для сторон с момента его заключения и действует до полного исполнения обязательств сторонами.</t>
  </si>
  <si>
    <t>11.2.</t>
  </si>
  <si>
    <t>Заявления, уведомления, извещения, требования или иные юридически значимые сообщения, с которыми закон или Договор связывают наступление гражданско-правовых последствий для другой стороны, должны направляться сторонами любым из следующих способов:</t>
  </si>
  <si>
    <t>- с нарочным (курьерской доставкой). Факт получения документа должен подтверждаться распиской стороны в его получении. Расписка должна содержать наименование документа и дату его получения, Ф.И.О., должность и подпись лица, получившего данный документ;</t>
  </si>
  <si>
    <t>- заказным письмом с уведомлением о вручении;</t>
  </si>
  <si>
    <t>- ценным письмом с описью вложения и уведомлением о вручении;</t>
  </si>
  <si>
    <t>- электронной почтой.</t>
  </si>
  <si>
    <t>11.3.</t>
  </si>
  <si>
    <t>Если иное не предусмотрено законом, все юридически значимые сообщения по Договору влекут для получающей их стороны наступление гражданско-правовых последствий с момента доставки соответствующего сообщения ей или её представителю.</t>
  </si>
  <si>
    <t>11.4.</t>
  </si>
  <si>
    <t>Сообщение считается доставленным и в тех случаях, если оно поступило лицу, которому оно направлено (адресату), но по обстоятельствам, зависящим от него, не было ему вручено или адресат не ознакомился с ним.</t>
  </si>
  <si>
    <t>11.5.</t>
  </si>
  <si>
    <t>Договор составлен в 2 (двух) экземплярах, по одному для каждой стороны.</t>
  </si>
  <si>
    <t>11.6.</t>
  </si>
  <si>
    <t>Перечень приложений к Договору.</t>
  </si>
  <si>
    <t>11.6.1.</t>
  </si>
  <si>
    <t>Приложение № 1 «Заказ-Договор», является неотъемлемой частью Договора.</t>
  </si>
  <si>
    <t>12. Адреса и реквизиты сторон</t>
  </si>
  <si>
    <t>Заказчик</t>
  </si>
  <si>
    <t>Исполнитель</t>
  </si>
  <si>
    <t>ООО "Изобретатели Декора"</t>
  </si>
  <si>
    <t>Адрес:</t>
  </si>
  <si>
    <t>Юридический адрес:</t>
  </si>
  <si>
    <t>197373 г.Санкт-Петербург,Долгоозерная 6 корпус 2 кв.161</t>
  </si>
  <si>
    <t>Телефон:</t>
  </si>
  <si>
    <t>Фактический адрес:</t>
  </si>
  <si>
    <t>Санкт-Петербург ул. Заставская 46 литер А</t>
  </si>
  <si>
    <t>Паспортные данные:</t>
  </si>
  <si>
    <t>Санкт-Петербург Литейный проспект 41</t>
  </si>
  <si>
    <t xml:space="preserve">Телефон: </t>
  </si>
  <si>
    <t>8 (812) 992 66 83</t>
  </si>
  <si>
    <t>ОГРНИП 1187847264340</t>
  </si>
  <si>
    <r>
      <rPr>
        <b/>
        <sz val="10"/>
        <rFont val="Century Gothic"/>
        <family val="2"/>
        <charset val="204"/>
      </rPr>
      <t>ИНН</t>
    </r>
    <r>
      <rPr>
        <sz val="10"/>
        <rFont val="Century Gothic"/>
        <family val="2"/>
        <charset val="204"/>
      </rPr>
      <t xml:space="preserve"> 7814740920</t>
    </r>
  </si>
  <si>
    <r>
      <rPr>
        <b/>
        <sz val="10"/>
        <rFont val="Century Gothic"/>
        <family val="2"/>
        <charset val="204"/>
      </rPr>
      <t>КПП</t>
    </r>
    <r>
      <rPr>
        <sz val="10"/>
        <rFont val="Century Gothic"/>
        <family val="2"/>
        <charset val="204"/>
      </rPr>
      <t xml:space="preserve"> 781401001</t>
    </r>
  </si>
  <si>
    <r>
      <rPr>
        <b/>
        <sz val="10"/>
        <rFont val="Century Gothic"/>
        <family val="2"/>
        <charset val="204"/>
      </rPr>
      <t>Р/с</t>
    </r>
    <r>
      <rPr>
        <sz val="10"/>
        <rFont val="Century Gothic"/>
        <family val="2"/>
        <charset val="204"/>
      </rPr>
      <t xml:space="preserve"> 40702810803500011261</t>
    </r>
  </si>
  <si>
    <t>ТОЧКА ПАО БАНКА "ФК ОТКРЫТИЕ"</t>
  </si>
  <si>
    <r>
      <rPr>
        <b/>
        <sz val="10"/>
        <rFont val="Century Gothic"/>
        <family val="2"/>
        <charset val="204"/>
      </rPr>
      <t>К/c</t>
    </r>
    <r>
      <rPr>
        <sz val="10"/>
        <rFont val="Century Gothic"/>
        <family val="2"/>
        <charset val="204"/>
      </rPr>
      <t xml:space="preserve"> 30101810845250000999</t>
    </r>
  </si>
  <si>
    <r>
      <rPr>
        <b/>
        <sz val="10"/>
        <rFont val="Century Gothic"/>
        <family val="2"/>
        <charset val="204"/>
      </rPr>
      <t>БИК</t>
    </r>
    <r>
      <rPr>
        <sz val="10"/>
        <rFont val="Century Gothic"/>
        <family val="2"/>
        <charset val="204"/>
      </rPr>
      <t xml:space="preserve"> 044525999</t>
    </r>
  </si>
  <si>
    <t>_______________________/                                /</t>
  </si>
  <si>
    <t>_______________________/ Наринян Н.А. /</t>
  </si>
  <si>
    <t>м.п.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</si>
</sst>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&lt;=9999999]###\-####;\(###\)\ ###\-####"/>
  </numFmts>
  <fonts count="4">
    <font>
      <sz val="10"/>
      <name val="Arial Cyr"/>
      <charset val="204"/>
    </font>
    <font>
      <sz val="10"/>
      <name val="Century Gothic"/>
      <family val="2"/>
      <charset val="204"/>
    </font>
    <font>
      <b/>
      <sz val="12"/>
      <name val="Century Gothic"/>
      <family val="2"/>
      <charset val="204"/>
    </font>
    <font>
      <b/>
      <sz val="10"/>
      <name val="Century Gothic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64" fontId="1" fillId="0" borderId="0" xfId="0" quotePrefix="1" applyNumberFormat="1" applyFont="1" applyAlignment="1">
      <alignment horizontal="center" vertical="center"/>
    </xf>
    <xf numFmtId="0" fontId="1" fillId="0" borderId="0" xfId="0" applyFont="1" applyAlignment="1">
      <alignment horizontal="justify" vertical="top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/>
    </xf>
    <xf numFmtId="49" fontId="1" fillId="0" borderId="0" xfId="0" applyNumberFormat="1" applyFont="1" applyAlignment="1">
      <alignment horizontal="justify" vertical="center"/>
    </xf>
    <xf numFmtId="0" fontId="1" fillId="0" borderId="0" xfId="0" applyFont="1" applyAlignment="1">
      <alignment horizontal="justify" vertical="center" wrapText="1"/>
    </xf>
    <xf numFmtId="16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vertical="distributed"/>
    </xf>
    <xf numFmtId="14" fontId="1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justify" vertical="top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4;&#1073;&#1088;&#1072;&#1079;&#1077;&#1094;%20&#1092;&#1072;&#1080;&#774;&#1083;&#1072;%20&#1089;%20&#1076;&#1086;&#1075;&#1086;&#1074;&#1086;&#1088;&#1086;&#108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ФО"/>
      <sheetName val="Проверка!"/>
      <sheetName val="КП"/>
      <sheetName val="Договор"/>
      <sheetName val="Оплата"/>
      <sheetName val="3 этаж"/>
      <sheetName val="2в. к.(1)"/>
      <sheetName val="3в. к.(1)"/>
      <sheetName val="1в. к.(2)"/>
      <sheetName val="2в. к.(2)"/>
      <sheetName val="3в. к.(2)"/>
      <sheetName val="1в. к.(3)"/>
      <sheetName val="2в. к.(3)"/>
      <sheetName val="3в. к.(3)"/>
      <sheetName val="1в. к.(4)"/>
      <sheetName val="2в. к.(4)"/>
      <sheetName val="3в. к.(4)"/>
      <sheetName val="1в. к.(5)"/>
      <sheetName val="2в. к.(5)"/>
      <sheetName val="3в. к.(5)"/>
      <sheetName val="1в. к.(6)"/>
      <sheetName val="2в. к.(6)"/>
      <sheetName val="3в. к.(6)"/>
      <sheetName val="1в. к.(7)"/>
      <sheetName val="2в. к.(7)"/>
      <sheetName val="3в. к.(7)"/>
      <sheetName val="База"/>
    </sheetNames>
    <sheetDataSet>
      <sheetData sheetId="0">
        <row r="4">
          <cell r="B4" t="str">
            <v>Маловецкий Александр Павлович</v>
          </cell>
        </row>
        <row r="6">
          <cell r="B6" t="str">
            <v>Лиикола Клаб</v>
          </cell>
        </row>
        <row r="17">
          <cell r="B17" t="str">
            <v>П</v>
          </cell>
          <cell r="C17" t="str">
            <v>1252</v>
          </cell>
        </row>
        <row r="18">
          <cell r="B18">
            <v>44017</v>
          </cell>
        </row>
        <row r="19">
          <cell r="B19">
            <v>226776.56</v>
          </cell>
        </row>
        <row r="20">
          <cell r="B20" t="str">
            <v>Двесте двадцать шесть тысяч семьсот семьдесят шесть рублей 56 копеек</v>
          </cell>
        </row>
        <row r="21">
          <cell r="B21">
            <v>1</v>
          </cell>
        </row>
        <row r="22">
          <cell r="B22" t="str">
            <v>10-15</v>
          </cell>
        </row>
        <row r="23">
          <cell r="B23">
            <v>5</v>
          </cell>
        </row>
        <row r="24">
          <cell r="B24">
            <v>20</v>
          </cell>
        </row>
        <row r="25">
          <cell r="B25" t="str">
            <v>1 год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1">
          <cell r="A11" t="str">
            <v>м.п.</v>
          </cell>
        </row>
        <row r="12">
          <cell r="A12" t="str">
            <v>шт.</v>
          </cell>
        </row>
        <row r="13">
          <cell r="A13" t="str">
            <v>м.</v>
          </cell>
        </row>
        <row r="14">
          <cell r="A14" t="str">
            <v>кв.м.</v>
          </cell>
        </row>
        <row r="15">
          <cell r="A15" t="str">
            <v>уп.</v>
          </cell>
        </row>
        <row r="18">
          <cell r="A18" t="str">
            <v>1 (Эконом)</v>
          </cell>
        </row>
        <row r="19">
          <cell r="A19" t="str">
            <v>2 (Стандарт)</v>
          </cell>
        </row>
        <row r="20">
          <cell r="A20" t="str">
            <v>3 (Премиум)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18C36-138D-3C4C-835C-56E119B84734}">
  <sheetPr>
    <pageSetUpPr fitToPage="1"/>
  </sheetPr>
  <dimension ref="A1:G102"/>
  <sheetViews>
    <sheetView tabSelected="1" view="pageBreakPreview" zoomScaleNormal="100" zoomScaleSheetLayoutView="100" workbookViewId="0">
      <selection activeCell="A4" sqref="A4:C4"/>
    </sheetView>
  </sheetViews>
  <sheetFormatPr baseColWidth="10" defaultColWidth="9.1640625" defaultRowHeight="13"/>
  <cols>
    <col min="1" max="1" width="6.6640625" style="1" bestFit="1" customWidth="1"/>
    <col min="2" max="2" width="13.33203125" style="2" customWidth="1"/>
    <col min="3" max="3" width="15.1640625" style="2" bestFit="1" customWidth="1"/>
    <col min="4" max="4" width="10.5" style="2" customWidth="1"/>
    <col min="5" max="5" width="12.1640625" style="2" customWidth="1"/>
    <col min="6" max="6" width="15" style="2" customWidth="1"/>
    <col min="7" max="7" width="19.1640625" style="2" customWidth="1"/>
    <col min="8" max="16384" width="9.1640625" style="1"/>
  </cols>
  <sheetData>
    <row r="1" spans="1:7" ht="13.5" customHeight="1"/>
    <row r="2" spans="1:7" ht="13.5" customHeight="1">
      <c r="A2" s="3" t="str">
        <f>"Договор № "&amp;[1]ИНФО!B17&amp;" - "&amp;[1]ИНФО!C17</f>
        <v>Договор № П - 1252</v>
      </c>
      <c r="B2" s="3"/>
      <c r="C2" s="3"/>
      <c r="D2" s="3"/>
      <c r="E2" s="3"/>
      <c r="F2" s="3"/>
      <c r="G2" s="3"/>
    </row>
    <row r="3" spans="1:7" ht="17.25" customHeight="1"/>
    <row r="4" spans="1:7" ht="17.25" customHeight="1">
      <c r="A4" s="4" t="s">
        <v>0</v>
      </c>
      <c r="B4" s="4"/>
      <c r="C4" s="4"/>
      <c r="D4" s="1"/>
      <c r="E4" s="1"/>
      <c r="F4" s="5">
        <f>[1]ИНФО!B18</f>
        <v>44017</v>
      </c>
      <c r="G4" s="5"/>
    </row>
    <row r="5" spans="1:7" ht="17.25" customHeight="1"/>
    <row r="6" spans="1:7" ht="84.75" customHeight="1">
      <c r="A6" s="6" t="s">
        <v>1</v>
      </c>
      <c r="B6" s="6"/>
      <c r="C6" s="6"/>
      <c r="D6" s="6"/>
      <c r="E6" s="6"/>
      <c r="F6" s="6"/>
      <c r="G6" s="6"/>
    </row>
    <row r="7" spans="1:7" ht="25" customHeight="1">
      <c r="A7" s="7" t="s">
        <v>2</v>
      </c>
      <c r="B7" s="7"/>
      <c r="C7" s="7"/>
      <c r="D7" s="7"/>
      <c r="E7" s="7"/>
      <c r="F7" s="7"/>
      <c r="G7" s="7"/>
    </row>
    <row r="8" spans="1:7" ht="41.25" customHeight="1">
      <c r="A8" s="8" t="s">
        <v>3</v>
      </c>
      <c r="B8" s="6" t="s">
        <v>4</v>
      </c>
      <c r="C8" s="6"/>
      <c r="D8" s="6"/>
      <c r="E8" s="6"/>
      <c r="F8" s="6"/>
      <c r="G8" s="6"/>
    </row>
    <row r="9" spans="1:7" ht="25" customHeight="1">
      <c r="A9" s="7" t="s">
        <v>5</v>
      </c>
      <c r="B9" s="7"/>
      <c r="C9" s="7"/>
      <c r="D9" s="7"/>
      <c r="E9" s="7"/>
      <c r="F9" s="7"/>
      <c r="G9" s="7"/>
    </row>
    <row r="10" spans="1:7" ht="30.75" customHeight="1">
      <c r="A10" s="8" t="s">
        <v>6</v>
      </c>
      <c r="B10" s="6" t="s">
        <v>7</v>
      </c>
      <c r="C10" s="6"/>
      <c r="D10" s="6"/>
      <c r="E10" s="6"/>
      <c r="F10" s="6"/>
      <c r="G10" s="6"/>
    </row>
    <row r="11" spans="1:7" ht="16.5" customHeight="1">
      <c r="A11" s="1" t="s">
        <v>8</v>
      </c>
      <c r="B11" s="6" t="s">
        <v>9</v>
      </c>
      <c r="C11" s="6"/>
      <c r="D11" s="6"/>
      <c r="E11" s="6"/>
      <c r="F11" s="6"/>
      <c r="G11" s="6"/>
    </row>
    <row r="12" spans="1:7" ht="67.25" customHeight="1">
      <c r="A12" s="9" t="s">
        <v>10</v>
      </c>
      <c r="B12" s="6" t="str">
        <f>"Исполнитель гарантирует Заказчику сохранение всех качественных показателей изделия при условии соблюдения всех правил транспортировки, монтажа и эксплуатации изделия. Гарантийный период на изделия составляет – "&amp;[1]ИНФО!B25&amp;", с момента монтажа изделий, при условии, что транспортировка и монтаж производится Исполнителем."</f>
        <v>Исполнитель гарантирует Заказчику сохранение всех качественных показателей изделия при условии соблюдения всех правил транспортировки, монтажа и эксплуатации изделия. Гарантийный период на изделия составляет – 1 год, с момента монтажа изделий, при условии, что транспортировка и монтаж производится Исполнителем.</v>
      </c>
      <c r="C12" s="6"/>
      <c r="D12" s="6"/>
      <c r="E12" s="6"/>
      <c r="F12" s="6"/>
      <c r="G12" s="6"/>
    </row>
    <row r="13" spans="1:7" ht="44.25" customHeight="1">
      <c r="A13" s="8" t="s">
        <v>11</v>
      </c>
      <c r="B13" s="6" t="s">
        <v>12</v>
      </c>
      <c r="C13" s="6"/>
      <c r="D13" s="6"/>
      <c r="E13" s="6"/>
      <c r="F13" s="6"/>
      <c r="G13" s="6"/>
    </row>
    <row r="14" spans="1:7" ht="42.75" customHeight="1">
      <c r="A14" s="8" t="s">
        <v>13</v>
      </c>
      <c r="B14" s="6" t="s">
        <v>14</v>
      </c>
      <c r="C14" s="6"/>
      <c r="D14" s="6"/>
      <c r="E14" s="6"/>
      <c r="F14" s="6"/>
      <c r="G14" s="6"/>
    </row>
    <row r="15" spans="1:7" ht="25" customHeight="1">
      <c r="A15" s="7" t="s">
        <v>15</v>
      </c>
      <c r="B15" s="7"/>
      <c r="C15" s="7"/>
      <c r="D15" s="7"/>
      <c r="E15" s="7"/>
      <c r="F15" s="7"/>
      <c r="G15" s="7"/>
    </row>
    <row r="16" spans="1:7" ht="41.25" customHeight="1">
      <c r="A16" s="8" t="s">
        <v>16</v>
      </c>
      <c r="B16" s="6" t="str">
        <f>"Цена работы составляет "&amp;[1]ИНФО!B19&amp;" рублей ("&amp;[1]ИНФО!B20&amp;"). В связи с применением Исполнителем упрощенной системы налогообложения НДС к оплате Заказчику не предъявляется (ст. 346.11, п. 1 ст. 168 НК РФ)."</f>
        <v>Цена работы составляет 226776,56 рублей (Двесте двадцать шесть тысяч семьсот семьдесят шесть рублей 56 копеек). В связи с применением Исполнителем упрощенной системы налогообложения НДС к оплате Заказчику не предъявляется (ст. 346.11, п. 1 ст. 168 НК РФ).</v>
      </c>
      <c r="C16" s="6"/>
      <c r="D16" s="6"/>
      <c r="E16" s="6"/>
      <c r="F16" s="6"/>
      <c r="G16" s="6"/>
    </row>
    <row r="17" spans="1:7">
      <c r="A17" s="1" t="s">
        <v>17</v>
      </c>
      <c r="B17" s="10" t="s">
        <v>18</v>
      </c>
      <c r="C17" s="10"/>
      <c r="D17" s="10"/>
      <c r="E17" s="10"/>
      <c r="F17" s="10"/>
      <c r="G17" s="10"/>
    </row>
    <row r="18" spans="1:7" ht="27.75" customHeight="1">
      <c r="A18" s="1" t="s">
        <v>19</v>
      </c>
      <c r="B18" s="6" t="s">
        <v>20</v>
      </c>
      <c r="C18" s="6"/>
      <c r="D18" s="6"/>
      <c r="E18" s="6"/>
      <c r="F18" s="6"/>
      <c r="G18" s="6"/>
    </row>
    <row r="19" spans="1:7" ht="30" customHeight="1">
      <c r="A19" s="8" t="s">
        <v>21</v>
      </c>
      <c r="B19" s="6" t="str">
        <f>"Заказчик обязуется произвести предоплату выполненной работы в размере " &amp; [1]ИНФО!B21 &amp; "% цены работ в течение "&amp;[1]ИНФО!B22&amp;" дней с момента подписания Договора."</f>
        <v>Заказчик обязуется произвести предоплату выполненной работы в размере 1% цены работ в течение 10-15 дней с момента подписания Договора.</v>
      </c>
      <c r="C19" s="6"/>
      <c r="D19" s="6"/>
      <c r="E19" s="6"/>
      <c r="F19" s="6"/>
      <c r="G19" s="6"/>
    </row>
    <row r="20" spans="1:7">
      <c r="A20" s="1" t="s">
        <v>22</v>
      </c>
      <c r="B20" s="10" t="s">
        <v>23</v>
      </c>
      <c r="C20" s="10"/>
      <c r="D20" s="10"/>
      <c r="E20" s="10"/>
      <c r="F20" s="10"/>
      <c r="G20" s="10"/>
    </row>
    <row r="21" spans="1:7">
      <c r="B21" s="11" t="s">
        <v>24</v>
      </c>
      <c r="C21" s="11"/>
      <c r="D21" s="11"/>
      <c r="E21" s="11"/>
      <c r="F21" s="11"/>
      <c r="G21" s="11"/>
    </row>
    <row r="22" spans="1:7">
      <c r="B22" s="11" t="s">
        <v>25</v>
      </c>
      <c r="C22" s="11"/>
      <c r="D22" s="11"/>
      <c r="E22" s="11"/>
      <c r="F22" s="11"/>
      <c r="G22" s="11"/>
    </row>
    <row r="23" spans="1:7" ht="45.75" customHeight="1">
      <c r="A23" s="8" t="s">
        <v>26</v>
      </c>
      <c r="B23" s="12" t="s">
        <v>27</v>
      </c>
      <c r="C23" s="12"/>
      <c r="D23" s="12"/>
      <c r="E23" s="12"/>
      <c r="F23" s="12"/>
      <c r="G23" s="12"/>
    </row>
    <row r="24" spans="1:7" ht="25" customHeight="1">
      <c r="A24" s="7" t="s">
        <v>28</v>
      </c>
      <c r="B24" s="7"/>
      <c r="C24" s="7"/>
      <c r="D24" s="7"/>
      <c r="E24" s="7"/>
      <c r="F24" s="7"/>
      <c r="G24" s="7"/>
    </row>
    <row r="25" spans="1:7" ht="30.75" customHeight="1">
      <c r="A25" s="9" t="s">
        <v>29</v>
      </c>
      <c r="B25" s="6" t="str">
        <f>"Исполнитель обязуется приступить к работе, предусмотренной Договором, в течение "&amp;[1]ИНФО!B23&amp;" дней с момента уплаты Заказчиком аванса и завершить ее в течение "&amp;[1]ИНФО!B24&amp;" рабочих дней."</f>
        <v>Исполнитель обязуется приступить к работе, предусмотренной Договором, в течение 5 дней с момента уплаты Заказчиком аванса и завершить ее в течение 20 рабочих дней.</v>
      </c>
      <c r="C25" s="6"/>
      <c r="D25" s="6"/>
      <c r="E25" s="6"/>
      <c r="F25" s="6"/>
      <c r="G25" s="6"/>
    </row>
    <row r="26" spans="1:7" ht="28.5" customHeight="1">
      <c r="A26" s="9" t="s">
        <v>30</v>
      </c>
      <c r="B26" s="6" t="s">
        <v>31</v>
      </c>
      <c r="C26" s="6"/>
      <c r="D26" s="6"/>
      <c r="E26" s="6"/>
      <c r="F26" s="6"/>
      <c r="G26" s="6"/>
    </row>
    <row r="27" spans="1:7" ht="28.5" customHeight="1">
      <c r="A27" s="9" t="s">
        <v>32</v>
      </c>
      <c r="B27" s="6" t="s">
        <v>33</v>
      </c>
      <c r="C27" s="6"/>
      <c r="D27" s="6"/>
      <c r="E27" s="6"/>
      <c r="F27" s="6"/>
      <c r="G27" s="6"/>
    </row>
    <row r="28" spans="1:7" ht="29.25" customHeight="1">
      <c r="A28" s="9" t="s">
        <v>34</v>
      </c>
      <c r="B28" s="6" t="s">
        <v>35</v>
      </c>
      <c r="C28" s="6"/>
      <c r="D28" s="6"/>
      <c r="E28" s="6"/>
      <c r="F28" s="6"/>
      <c r="G28" s="6"/>
    </row>
    <row r="29" spans="1:7" ht="25" customHeight="1">
      <c r="A29" s="7" t="s">
        <v>36</v>
      </c>
      <c r="B29" s="7"/>
      <c r="C29" s="7"/>
      <c r="D29" s="7"/>
      <c r="E29" s="7"/>
      <c r="F29" s="7"/>
      <c r="G29" s="7"/>
    </row>
    <row r="30" spans="1:7" ht="29.25" customHeight="1">
      <c r="A30" s="13" t="s">
        <v>37</v>
      </c>
      <c r="B30" s="6" t="s">
        <v>38</v>
      </c>
      <c r="C30" s="6"/>
      <c r="D30" s="6"/>
      <c r="E30" s="6"/>
      <c r="F30" s="6"/>
      <c r="G30" s="6"/>
    </row>
    <row r="31" spans="1:7" s="14" customFormat="1" ht="30" customHeight="1">
      <c r="A31" s="13" t="s">
        <v>39</v>
      </c>
      <c r="B31" s="6" t="s">
        <v>40</v>
      </c>
      <c r="C31" s="6"/>
      <c r="D31" s="6"/>
      <c r="E31" s="6"/>
      <c r="F31" s="6"/>
      <c r="G31" s="6"/>
    </row>
    <row r="32" spans="1:7" s="14" customFormat="1" ht="42.75" customHeight="1">
      <c r="A32" s="13" t="s">
        <v>41</v>
      </c>
      <c r="B32" s="6" t="s">
        <v>42</v>
      </c>
      <c r="C32" s="6"/>
      <c r="D32" s="6"/>
      <c r="E32" s="6"/>
      <c r="F32" s="6"/>
      <c r="G32" s="6"/>
    </row>
    <row r="33" spans="1:7" s="14" customFormat="1" ht="31.5" customHeight="1">
      <c r="A33" s="13" t="s">
        <v>43</v>
      </c>
      <c r="B33" s="6" t="s">
        <v>44</v>
      </c>
      <c r="C33" s="6"/>
      <c r="D33" s="6"/>
      <c r="E33" s="6"/>
      <c r="F33" s="6"/>
      <c r="G33" s="6"/>
    </row>
    <row r="34" spans="1:7" s="14" customFormat="1" ht="31.5" customHeight="1">
      <c r="A34" s="13" t="s">
        <v>45</v>
      </c>
      <c r="B34" s="6" t="str">
        <f>"Приемка выполненной работы осуществляется в месте фактического нахождения Заказчика по адресу: "&amp;[1]ИНФО!B6</f>
        <v>Приемка выполненной работы осуществляется в месте фактического нахождения Заказчика по адресу: Лиикола Клаб</v>
      </c>
      <c r="C34" s="6"/>
      <c r="D34" s="6"/>
      <c r="E34" s="6"/>
      <c r="F34" s="6"/>
      <c r="G34" s="6"/>
    </row>
    <row r="35" spans="1:7" s="14" customFormat="1" ht="30.75" customHeight="1">
      <c r="A35" s="13" t="s">
        <v>46</v>
      </c>
      <c r="B35" s="6" t="s">
        <v>47</v>
      </c>
      <c r="C35" s="6"/>
      <c r="D35" s="6"/>
      <c r="E35" s="6"/>
      <c r="F35" s="6"/>
      <c r="G35" s="6"/>
    </row>
    <row r="36" spans="1:7" s="14" customFormat="1" ht="31.5" customHeight="1">
      <c r="A36" s="13" t="s">
        <v>48</v>
      </c>
      <c r="B36" s="6" t="s">
        <v>49</v>
      </c>
      <c r="C36" s="6"/>
      <c r="D36" s="6"/>
      <c r="E36" s="6"/>
      <c r="F36" s="6"/>
      <c r="G36" s="6"/>
    </row>
    <row r="37" spans="1:7" s="14" customFormat="1" ht="30.75" customHeight="1">
      <c r="A37" s="13" t="s">
        <v>50</v>
      </c>
      <c r="B37" s="6" t="s">
        <v>51</v>
      </c>
      <c r="C37" s="6"/>
      <c r="D37" s="6"/>
      <c r="E37" s="6"/>
      <c r="F37" s="6"/>
      <c r="G37" s="6"/>
    </row>
    <row r="38" spans="1:7" ht="25" customHeight="1">
      <c r="A38" s="7" t="s">
        <v>52</v>
      </c>
      <c r="B38" s="7"/>
      <c r="C38" s="7"/>
      <c r="D38" s="7"/>
      <c r="E38" s="7"/>
      <c r="F38" s="7"/>
      <c r="G38" s="7"/>
    </row>
    <row r="39" spans="1:7" ht="42.75" customHeight="1">
      <c r="A39" s="9" t="s">
        <v>53</v>
      </c>
      <c r="B39" s="6" t="s">
        <v>54</v>
      </c>
      <c r="C39" s="6"/>
      <c r="D39" s="6"/>
      <c r="E39" s="6"/>
      <c r="F39" s="6"/>
      <c r="G39" s="6"/>
    </row>
    <row r="40" spans="1:7" ht="69.75" customHeight="1">
      <c r="A40" s="9" t="s">
        <v>55</v>
      </c>
      <c r="B40" s="6" t="s">
        <v>56</v>
      </c>
      <c r="C40" s="6"/>
      <c r="D40" s="6"/>
      <c r="E40" s="6"/>
      <c r="F40" s="6"/>
      <c r="G40" s="6"/>
    </row>
    <row r="41" spans="1:7" ht="25" customHeight="1">
      <c r="A41" s="7" t="s">
        <v>57</v>
      </c>
      <c r="B41" s="7"/>
      <c r="C41" s="7"/>
      <c r="D41" s="7"/>
      <c r="E41" s="7"/>
      <c r="F41" s="7"/>
      <c r="G41" s="7"/>
    </row>
    <row r="42" spans="1:7" ht="42.75" customHeight="1">
      <c r="A42" s="9" t="s">
        <v>58</v>
      </c>
      <c r="B42" s="6" t="s">
        <v>59</v>
      </c>
      <c r="C42" s="6"/>
      <c r="D42" s="6"/>
      <c r="E42" s="6"/>
      <c r="F42" s="6"/>
      <c r="G42" s="6"/>
    </row>
    <row r="43" spans="1:7" ht="33" customHeight="1">
      <c r="A43" s="9" t="s">
        <v>60</v>
      </c>
      <c r="B43" s="6" t="s">
        <v>61</v>
      </c>
      <c r="C43" s="6"/>
      <c r="D43" s="6"/>
      <c r="E43" s="6"/>
      <c r="F43" s="6"/>
      <c r="G43" s="6"/>
    </row>
    <row r="44" spans="1:7" ht="25" customHeight="1">
      <c r="A44" s="7" t="s">
        <v>62</v>
      </c>
      <c r="B44" s="7"/>
      <c r="C44" s="7"/>
      <c r="D44" s="7"/>
      <c r="E44" s="7"/>
      <c r="F44" s="7"/>
      <c r="G44" s="7"/>
    </row>
    <row r="45" spans="1:7" ht="27.75" customHeight="1">
      <c r="A45" s="9" t="s">
        <v>63</v>
      </c>
      <c r="B45" s="6" t="s">
        <v>64</v>
      </c>
      <c r="C45" s="6"/>
      <c r="D45" s="6"/>
      <c r="E45" s="6"/>
      <c r="F45" s="6"/>
      <c r="G45" s="6"/>
    </row>
    <row r="46" spans="1:7" ht="30.75" customHeight="1">
      <c r="A46" s="9" t="s">
        <v>65</v>
      </c>
      <c r="B46" s="6" t="s">
        <v>66</v>
      </c>
      <c r="C46" s="6"/>
      <c r="D46" s="6"/>
      <c r="E46" s="6"/>
      <c r="F46" s="6"/>
      <c r="G46" s="6"/>
    </row>
    <row r="47" spans="1:7" ht="45" customHeight="1">
      <c r="A47" s="9" t="s">
        <v>67</v>
      </c>
      <c r="B47" s="6" t="s">
        <v>68</v>
      </c>
      <c r="C47" s="6"/>
      <c r="D47" s="6"/>
      <c r="E47" s="6"/>
      <c r="F47" s="6"/>
      <c r="G47" s="6"/>
    </row>
    <row r="48" spans="1:7" ht="57.75" customHeight="1">
      <c r="A48" s="9" t="s">
        <v>69</v>
      </c>
      <c r="B48" s="6" t="s">
        <v>70</v>
      </c>
      <c r="C48" s="6"/>
      <c r="D48" s="6"/>
      <c r="E48" s="6"/>
      <c r="F48" s="6"/>
      <c r="G48" s="6"/>
    </row>
    <row r="49" spans="1:7" ht="29.25" customHeight="1">
      <c r="A49" s="9" t="s">
        <v>71</v>
      </c>
      <c r="B49" s="6" t="s">
        <v>72</v>
      </c>
      <c r="C49" s="6"/>
      <c r="D49" s="6"/>
      <c r="E49" s="6"/>
      <c r="F49" s="6"/>
      <c r="G49" s="6"/>
    </row>
    <row r="50" spans="1:7">
      <c r="A50" s="9" t="s">
        <v>73</v>
      </c>
      <c r="B50" s="6" t="s">
        <v>74</v>
      </c>
      <c r="C50" s="6"/>
      <c r="D50" s="6"/>
      <c r="E50" s="6"/>
      <c r="F50" s="6"/>
      <c r="G50" s="6"/>
    </row>
    <row r="51" spans="1:7" ht="25" customHeight="1">
      <c r="A51" s="7" t="s">
        <v>75</v>
      </c>
      <c r="B51" s="7"/>
      <c r="C51" s="7"/>
      <c r="D51" s="7"/>
      <c r="E51" s="7"/>
      <c r="F51" s="7"/>
      <c r="G51" s="7"/>
    </row>
    <row r="52" spans="1:7" ht="29.25" customHeight="1">
      <c r="A52" s="9" t="s">
        <v>76</v>
      </c>
      <c r="B52" s="6" t="s">
        <v>77</v>
      </c>
      <c r="C52" s="6"/>
      <c r="D52" s="6"/>
      <c r="E52" s="6"/>
      <c r="F52" s="6"/>
      <c r="G52" s="6"/>
    </row>
    <row r="53" spans="1:7">
      <c r="A53" s="9"/>
      <c r="B53" s="6" t="s">
        <v>78</v>
      </c>
      <c r="C53" s="6"/>
      <c r="D53" s="6"/>
      <c r="E53" s="6"/>
      <c r="F53" s="6"/>
      <c r="G53" s="6"/>
    </row>
    <row r="54" spans="1:7">
      <c r="A54" s="9"/>
      <c r="B54" s="6" t="s">
        <v>79</v>
      </c>
      <c r="C54" s="6"/>
      <c r="D54" s="6"/>
      <c r="E54" s="6"/>
      <c r="F54" s="6"/>
      <c r="G54" s="6"/>
    </row>
    <row r="55" spans="1:7" ht="43.5" customHeight="1">
      <c r="A55" s="9"/>
      <c r="B55" s="6" t="s">
        <v>80</v>
      </c>
      <c r="C55" s="6"/>
      <c r="D55" s="6"/>
      <c r="E55" s="6"/>
      <c r="F55" s="6"/>
      <c r="G55" s="6"/>
    </row>
    <row r="56" spans="1:7">
      <c r="A56" s="9" t="s">
        <v>81</v>
      </c>
      <c r="B56" s="6" t="s">
        <v>82</v>
      </c>
      <c r="C56" s="6"/>
      <c r="D56" s="6"/>
      <c r="E56" s="6"/>
      <c r="F56" s="6"/>
      <c r="G56" s="6"/>
    </row>
    <row r="57" spans="1:7" ht="29.25" customHeight="1">
      <c r="A57" s="9" t="s">
        <v>83</v>
      </c>
      <c r="B57" s="6" t="s">
        <v>84</v>
      </c>
      <c r="C57" s="6"/>
      <c r="D57" s="6"/>
      <c r="E57" s="6"/>
      <c r="F57" s="6"/>
      <c r="G57" s="6"/>
    </row>
    <row r="58" spans="1:7" ht="25" customHeight="1">
      <c r="A58" s="7" t="s">
        <v>85</v>
      </c>
      <c r="B58" s="7"/>
      <c r="C58" s="7"/>
      <c r="D58" s="7"/>
      <c r="E58" s="7"/>
      <c r="F58" s="7"/>
      <c r="G58" s="7"/>
    </row>
    <row r="59" spans="1:7">
      <c r="A59" s="9" t="s">
        <v>86</v>
      </c>
      <c r="B59" s="6" t="s">
        <v>87</v>
      </c>
      <c r="C59" s="6"/>
      <c r="D59" s="6"/>
      <c r="E59" s="6"/>
      <c r="F59" s="6"/>
      <c r="G59" s="6"/>
    </row>
    <row r="60" spans="1:7" ht="42.75" customHeight="1">
      <c r="A60" s="9" t="s">
        <v>88</v>
      </c>
      <c r="B60" s="6" t="s">
        <v>89</v>
      </c>
      <c r="C60" s="6"/>
      <c r="D60" s="6"/>
      <c r="E60" s="6"/>
      <c r="F60" s="6"/>
      <c r="G60" s="6"/>
    </row>
    <row r="61" spans="1:7" ht="72" customHeight="1">
      <c r="A61" s="9" t="s">
        <v>90</v>
      </c>
      <c r="B61" s="6" t="s">
        <v>91</v>
      </c>
      <c r="C61" s="6"/>
      <c r="D61" s="6"/>
      <c r="E61" s="6"/>
      <c r="F61" s="6"/>
      <c r="G61" s="6"/>
    </row>
    <row r="62" spans="1:7" ht="56.25" customHeight="1">
      <c r="A62" s="9" t="s">
        <v>92</v>
      </c>
      <c r="B62" s="6" t="s">
        <v>93</v>
      </c>
      <c r="C62" s="6"/>
      <c r="D62" s="6"/>
      <c r="E62" s="6"/>
      <c r="F62" s="6"/>
      <c r="G62" s="6"/>
    </row>
    <row r="63" spans="1:7" ht="30.75" customHeight="1">
      <c r="A63" s="9" t="s">
        <v>94</v>
      </c>
      <c r="B63" s="6" t="s">
        <v>95</v>
      </c>
      <c r="C63" s="6"/>
      <c r="D63" s="6"/>
      <c r="E63" s="6"/>
      <c r="F63" s="6"/>
      <c r="G63" s="6"/>
    </row>
    <row r="64" spans="1:7" ht="28.5" customHeight="1">
      <c r="A64" s="15" t="s">
        <v>96</v>
      </c>
      <c r="B64" s="6" t="s">
        <v>97</v>
      </c>
      <c r="C64" s="6"/>
      <c r="D64" s="6"/>
      <c r="E64" s="6"/>
      <c r="F64" s="6"/>
      <c r="G64" s="6"/>
    </row>
    <row r="65" spans="1:7" ht="29.25" customHeight="1">
      <c r="A65" s="9" t="s">
        <v>98</v>
      </c>
      <c r="B65" s="6" t="s">
        <v>99</v>
      </c>
      <c r="C65" s="6"/>
      <c r="D65" s="6"/>
      <c r="E65" s="6"/>
      <c r="F65" s="6"/>
      <c r="G65" s="6"/>
    </row>
    <row r="66" spans="1:7" ht="25" customHeight="1">
      <c r="A66" s="7" t="s">
        <v>100</v>
      </c>
      <c r="B66" s="7"/>
      <c r="C66" s="7"/>
      <c r="D66" s="7"/>
      <c r="E66" s="7"/>
      <c r="F66" s="7"/>
      <c r="G66" s="7"/>
    </row>
    <row r="67" spans="1:7" ht="28.5" customHeight="1">
      <c r="A67" s="9" t="s">
        <v>101</v>
      </c>
      <c r="B67" s="6" t="s">
        <v>102</v>
      </c>
      <c r="C67" s="6"/>
      <c r="D67" s="6"/>
      <c r="E67" s="6"/>
      <c r="F67" s="6"/>
      <c r="G67" s="6"/>
    </row>
    <row r="68" spans="1:7" ht="57" customHeight="1">
      <c r="A68" s="9" t="s">
        <v>103</v>
      </c>
      <c r="B68" s="6" t="s">
        <v>104</v>
      </c>
      <c r="C68" s="6"/>
      <c r="D68" s="6"/>
      <c r="E68" s="6"/>
      <c r="F68" s="6"/>
      <c r="G68" s="6"/>
    </row>
    <row r="69" spans="1:7">
      <c r="A69" s="9"/>
      <c r="B69" s="16" t="s">
        <v>105</v>
      </c>
      <c r="C69" s="16"/>
      <c r="D69" s="16"/>
      <c r="E69" s="16"/>
      <c r="F69" s="16"/>
      <c r="G69" s="16"/>
    </row>
    <row r="70" spans="1:7">
      <c r="A70" s="9"/>
      <c r="B70" s="16" t="s">
        <v>106</v>
      </c>
      <c r="C70" s="16"/>
      <c r="D70" s="16"/>
      <c r="E70" s="16"/>
      <c r="F70" s="16"/>
      <c r="G70" s="16"/>
    </row>
    <row r="71" spans="1:7">
      <c r="A71" s="9"/>
      <c r="B71" s="16" t="s">
        <v>107</v>
      </c>
      <c r="C71" s="16"/>
      <c r="D71" s="16"/>
      <c r="E71" s="16"/>
      <c r="F71" s="16"/>
      <c r="G71" s="16"/>
    </row>
    <row r="72" spans="1:7">
      <c r="A72" s="9"/>
      <c r="B72" s="16" t="s">
        <v>108</v>
      </c>
      <c r="C72" s="16"/>
      <c r="D72" s="16"/>
      <c r="E72" s="16"/>
      <c r="F72" s="16"/>
      <c r="G72" s="16"/>
    </row>
    <row r="73" spans="1:7" ht="57" customHeight="1">
      <c r="A73" s="9" t="s">
        <v>109</v>
      </c>
      <c r="B73" s="6" t="s">
        <v>110</v>
      </c>
      <c r="C73" s="6"/>
      <c r="D73" s="6"/>
      <c r="E73" s="6"/>
      <c r="F73" s="6"/>
      <c r="G73" s="6"/>
    </row>
    <row r="74" spans="1:7" ht="45" customHeight="1">
      <c r="A74" s="9" t="s">
        <v>111</v>
      </c>
      <c r="B74" s="6" t="s">
        <v>112</v>
      </c>
      <c r="C74" s="6"/>
      <c r="D74" s="6"/>
      <c r="E74" s="6"/>
      <c r="F74" s="6"/>
      <c r="G74" s="6"/>
    </row>
    <row r="75" spans="1:7">
      <c r="A75" s="9" t="s">
        <v>113</v>
      </c>
      <c r="B75" s="6" t="s">
        <v>114</v>
      </c>
      <c r="C75" s="6"/>
      <c r="D75" s="6"/>
      <c r="E75" s="6"/>
      <c r="F75" s="6"/>
      <c r="G75" s="6"/>
    </row>
    <row r="76" spans="1:7">
      <c r="A76" s="9" t="s">
        <v>115</v>
      </c>
      <c r="B76" s="6" t="s">
        <v>116</v>
      </c>
      <c r="C76" s="6"/>
      <c r="D76" s="6"/>
      <c r="E76" s="6"/>
      <c r="F76" s="6"/>
      <c r="G76" s="6"/>
    </row>
    <row r="77" spans="1:7">
      <c r="A77" s="9" t="s">
        <v>117</v>
      </c>
      <c r="B77" s="6" t="s">
        <v>118</v>
      </c>
      <c r="C77" s="6"/>
      <c r="D77" s="6"/>
      <c r="E77" s="6"/>
      <c r="F77" s="6"/>
      <c r="G77" s="6"/>
    </row>
    <row r="78" spans="1:7" ht="25" customHeight="1">
      <c r="A78" s="7" t="s">
        <v>119</v>
      </c>
      <c r="B78" s="7"/>
      <c r="C78" s="7"/>
      <c r="D78" s="7"/>
      <c r="E78" s="7"/>
      <c r="F78" s="7"/>
      <c r="G78" s="7"/>
    </row>
    <row r="79" spans="1:7">
      <c r="A79" s="7" t="s">
        <v>120</v>
      </c>
      <c r="B79" s="7"/>
      <c r="C79" s="7"/>
      <c r="D79" s="7"/>
      <c r="E79" s="7" t="s">
        <v>121</v>
      </c>
      <c r="F79" s="7"/>
      <c r="G79" s="7"/>
    </row>
    <row r="80" spans="1:7" ht="41.25" customHeight="1">
      <c r="A80" s="4" t="str">
        <f>[1]ИНФО!B4</f>
        <v>Маловецкий Александр Павлович</v>
      </c>
      <c r="B80" s="4"/>
      <c r="C80" s="4"/>
      <c r="D80" s="4"/>
      <c r="E80" s="17" t="s">
        <v>122</v>
      </c>
      <c r="F80" s="4"/>
      <c r="G80" s="4"/>
    </row>
    <row r="81" spans="1:7" ht="15" customHeight="1">
      <c r="A81" s="18" t="s">
        <v>123</v>
      </c>
      <c r="B81" s="18"/>
      <c r="C81" s="18"/>
      <c r="D81" s="18"/>
      <c r="E81" s="19" t="s">
        <v>124</v>
      </c>
      <c r="F81" s="20"/>
      <c r="G81" s="20"/>
    </row>
    <row r="82" spans="1:7">
      <c r="A82" s="21" t="str">
        <f>[1]ИНФО!B6</f>
        <v>Лиикола Клаб</v>
      </c>
      <c r="B82" s="21"/>
      <c r="C82" s="21"/>
      <c r="D82" s="21"/>
      <c r="E82" s="22" t="s">
        <v>125</v>
      </c>
      <c r="F82" s="22"/>
      <c r="G82" s="22"/>
    </row>
    <row r="83" spans="1:7">
      <c r="A83" s="18" t="s">
        <v>126</v>
      </c>
      <c r="B83" s="18"/>
      <c r="C83" s="18"/>
      <c r="D83" s="18"/>
      <c r="E83" s="18" t="s">
        <v>127</v>
      </c>
      <c r="F83" s="18"/>
      <c r="G83" s="18"/>
    </row>
    <row r="84" spans="1:7" ht="13.5" customHeight="1">
      <c r="A84" s="23">
        <f>[1]ИНФО!B5</f>
        <v>0</v>
      </c>
      <c r="B84" s="23"/>
      <c r="C84" s="23"/>
      <c r="D84" s="23"/>
      <c r="E84" s="20" t="s">
        <v>128</v>
      </c>
      <c r="F84" s="20"/>
      <c r="G84" s="20"/>
    </row>
    <row r="85" spans="1:7" ht="13.5" customHeight="1">
      <c r="A85" s="18" t="s">
        <v>129</v>
      </c>
      <c r="B85" s="18"/>
      <c r="C85" s="18"/>
      <c r="D85" s="18"/>
      <c r="E85" s="20"/>
      <c r="F85" s="20"/>
      <c r="G85" s="20"/>
    </row>
    <row r="86" spans="1:7" ht="13.5" customHeight="1">
      <c r="A86" s="21" t="str">
        <f>"Серия: "&amp;[1]ИНФО!B8</f>
        <v xml:space="preserve">Серия: </v>
      </c>
      <c r="B86" s="21"/>
      <c r="C86" s="21"/>
      <c r="D86" s="21"/>
      <c r="E86" s="20" t="s">
        <v>130</v>
      </c>
      <c r="F86" s="20"/>
      <c r="G86" s="20"/>
    </row>
    <row r="87" spans="1:7" ht="13.5" customHeight="1">
      <c r="A87" s="21" t="str">
        <f>"Номер: "&amp;[1]ИНФО!B9</f>
        <v xml:space="preserve">Номер: </v>
      </c>
      <c r="B87" s="21"/>
      <c r="C87" s="21"/>
      <c r="D87" s="21"/>
      <c r="E87" s="20"/>
      <c r="F87" s="20"/>
      <c r="G87" s="20"/>
    </row>
    <row r="88" spans="1:7">
      <c r="A88" s="21" t="str">
        <f>"Дата выдачи: "&amp;[1]ИНФО!B10</f>
        <v xml:space="preserve">Дата выдачи: </v>
      </c>
      <c r="B88" s="21"/>
      <c r="C88" s="21"/>
      <c r="D88" s="21"/>
      <c r="E88" s="19" t="s">
        <v>131</v>
      </c>
      <c r="F88" s="19"/>
      <c r="G88" s="19"/>
    </row>
    <row r="89" spans="1:7">
      <c r="A89" s="21" t="str">
        <f>"Кем выдан: "&amp;[1]ИНФО!B11</f>
        <v xml:space="preserve">Кем выдан: </v>
      </c>
      <c r="B89" s="21"/>
      <c r="C89" s="21"/>
      <c r="D89" s="21"/>
      <c r="E89" s="22" t="s">
        <v>132</v>
      </c>
      <c r="F89" s="22"/>
      <c r="G89" s="22"/>
    </row>
    <row r="90" spans="1:7" ht="13.5" customHeight="1">
      <c r="A90" s="21"/>
      <c r="B90" s="21"/>
      <c r="C90" s="21"/>
      <c r="D90" s="21"/>
      <c r="E90" s="19" t="s">
        <v>133</v>
      </c>
      <c r="F90" s="20"/>
      <c r="G90" s="20"/>
    </row>
    <row r="91" spans="1:7" ht="13.5" customHeight="1">
      <c r="E91" s="20" t="s">
        <v>134</v>
      </c>
      <c r="F91" s="20"/>
      <c r="G91" s="20"/>
    </row>
    <row r="92" spans="1:7">
      <c r="E92" s="20" t="s">
        <v>135</v>
      </c>
      <c r="F92" s="20"/>
      <c r="G92" s="20"/>
    </row>
    <row r="93" spans="1:7" ht="13.5" customHeight="1">
      <c r="E93" s="20" t="s">
        <v>136</v>
      </c>
      <c r="F93" s="20"/>
      <c r="G93" s="20"/>
    </row>
    <row r="94" spans="1:7" ht="13.5" customHeight="1">
      <c r="E94" s="20" t="s">
        <v>137</v>
      </c>
      <c r="F94" s="20"/>
      <c r="G94" s="20"/>
    </row>
    <row r="95" spans="1:7" ht="13.5" customHeight="1">
      <c r="E95" s="20" t="s">
        <v>138</v>
      </c>
      <c r="F95" s="20"/>
      <c r="G95" s="20"/>
    </row>
    <row r="96" spans="1:7" ht="13.5" customHeight="1">
      <c r="E96" s="20" t="s">
        <v>139</v>
      </c>
      <c r="F96" s="20"/>
      <c r="G96" s="20"/>
    </row>
    <row r="98" spans="1:7">
      <c r="A98" s="24" t="s">
        <v>120</v>
      </c>
      <c r="B98" s="24"/>
      <c r="C98" s="24"/>
      <c r="D98" s="24"/>
      <c r="E98" s="7" t="s">
        <v>121</v>
      </c>
      <c r="F98" s="7"/>
      <c r="G98" s="7"/>
    </row>
    <row r="99" spans="1:7" ht="24" customHeight="1"/>
    <row r="100" spans="1:7">
      <c r="A100" s="4" t="s">
        <v>140</v>
      </c>
      <c r="B100" s="4"/>
      <c r="C100" s="4"/>
      <c r="D100" s="4"/>
      <c r="E100" s="4" t="s">
        <v>141</v>
      </c>
      <c r="F100" s="4"/>
      <c r="G100" s="4"/>
    </row>
    <row r="101" spans="1:7">
      <c r="E101" s="25" t="s">
        <v>142</v>
      </c>
    </row>
    <row r="102" spans="1:7">
      <c r="A102" s="26">
        <f>[1]ИНФО!B18</f>
        <v>44017</v>
      </c>
      <c r="B102" s="26"/>
      <c r="C102" s="26"/>
      <c r="D102" s="26"/>
      <c r="E102" s="26">
        <f>[1]ИНФО!B18</f>
        <v>44017</v>
      </c>
      <c r="F102" s="26"/>
      <c r="G102" s="26"/>
    </row>
  </sheetData>
  <mergeCells count="109">
    <mergeCell ref="A100:D100"/>
    <mergeCell ref="E100:G100"/>
    <mergeCell ref="A102:D102"/>
    <mergeCell ref="E102:G102"/>
    <mergeCell ref="E92:G92"/>
    <mergeCell ref="E93:G93"/>
    <mergeCell ref="E94:G94"/>
    <mergeCell ref="E95:G95"/>
    <mergeCell ref="E96:G96"/>
    <mergeCell ref="A98:D98"/>
    <mergeCell ref="E98:G98"/>
    <mergeCell ref="A88:D88"/>
    <mergeCell ref="E88:G88"/>
    <mergeCell ref="A89:D90"/>
    <mergeCell ref="E89:G89"/>
    <mergeCell ref="E90:G90"/>
    <mergeCell ref="E91:G91"/>
    <mergeCell ref="A83:D83"/>
    <mergeCell ref="E83:G83"/>
    <mergeCell ref="A84:D84"/>
    <mergeCell ref="E84:G85"/>
    <mergeCell ref="A85:D85"/>
    <mergeCell ref="A86:D86"/>
    <mergeCell ref="E86:G87"/>
    <mergeCell ref="A87:D87"/>
    <mergeCell ref="A80:D80"/>
    <mergeCell ref="E80:G80"/>
    <mergeCell ref="A81:D81"/>
    <mergeCell ref="E81:G81"/>
    <mergeCell ref="A82:D82"/>
    <mergeCell ref="E82:G82"/>
    <mergeCell ref="B75:G75"/>
    <mergeCell ref="B76:G76"/>
    <mergeCell ref="B77:G77"/>
    <mergeCell ref="A78:G78"/>
    <mergeCell ref="A79:D79"/>
    <mergeCell ref="E79:G79"/>
    <mergeCell ref="B69:G69"/>
    <mergeCell ref="B70:G70"/>
    <mergeCell ref="B71:G71"/>
    <mergeCell ref="B72:G72"/>
    <mergeCell ref="B73:G73"/>
    <mergeCell ref="B74:G74"/>
    <mergeCell ref="B63:G63"/>
    <mergeCell ref="B64:G64"/>
    <mergeCell ref="B65:G65"/>
    <mergeCell ref="A66:G66"/>
    <mergeCell ref="B67:G67"/>
    <mergeCell ref="B68:G68"/>
    <mergeCell ref="B57:G57"/>
    <mergeCell ref="A58:G58"/>
    <mergeCell ref="B59:G59"/>
    <mergeCell ref="B60:G60"/>
    <mergeCell ref="B61:G61"/>
    <mergeCell ref="B62:G62"/>
    <mergeCell ref="A51:G51"/>
    <mergeCell ref="B52:G52"/>
    <mergeCell ref="B53:G53"/>
    <mergeCell ref="B54:G54"/>
    <mergeCell ref="B55:G55"/>
    <mergeCell ref="B56:G56"/>
    <mergeCell ref="B45:G45"/>
    <mergeCell ref="B46:G46"/>
    <mergeCell ref="B47:G47"/>
    <mergeCell ref="B48:G48"/>
    <mergeCell ref="B49:G49"/>
    <mergeCell ref="B50:G50"/>
    <mergeCell ref="B39:G39"/>
    <mergeCell ref="B40:G40"/>
    <mergeCell ref="A41:G41"/>
    <mergeCell ref="B42:G42"/>
    <mergeCell ref="B43:G43"/>
    <mergeCell ref="A44:G44"/>
    <mergeCell ref="B33:G33"/>
    <mergeCell ref="B34:G34"/>
    <mergeCell ref="B35:G35"/>
    <mergeCell ref="B36:G36"/>
    <mergeCell ref="B37:G37"/>
    <mergeCell ref="A38:G38"/>
    <mergeCell ref="B27:G27"/>
    <mergeCell ref="B28:G28"/>
    <mergeCell ref="A29:G29"/>
    <mergeCell ref="B30:G30"/>
    <mergeCell ref="B31:G31"/>
    <mergeCell ref="B32:G32"/>
    <mergeCell ref="B21:G21"/>
    <mergeCell ref="B22:G22"/>
    <mergeCell ref="B23:G23"/>
    <mergeCell ref="A24:G24"/>
    <mergeCell ref="B25:G25"/>
    <mergeCell ref="B26:G26"/>
    <mergeCell ref="A15:G15"/>
    <mergeCell ref="B16:G16"/>
    <mergeCell ref="B17:G17"/>
    <mergeCell ref="B18:G18"/>
    <mergeCell ref="B19:G19"/>
    <mergeCell ref="B20:G20"/>
    <mergeCell ref="A9:G9"/>
    <mergeCell ref="B10:G10"/>
    <mergeCell ref="B11:G11"/>
    <mergeCell ref="B12:G12"/>
    <mergeCell ref="B13:G13"/>
    <mergeCell ref="B14:G14"/>
    <mergeCell ref="A2:G2"/>
    <mergeCell ref="A4:C4"/>
    <mergeCell ref="F4:G4"/>
    <mergeCell ref="A6:G6"/>
    <mergeCell ref="A7:G7"/>
    <mergeCell ref="B8:G8"/>
  </mergeCells>
  <pageMargins left="0.98425196850393704" right="0.98425196850393704" top="0.98425196850393704" bottom="1.5748031496062993" header="0.51181102362204722" footer="0.19685039370078741"/>
  <pageSetup paperSize="9" scale="82" fitToHeight="7" orientation="portrait" r:id="rId1"/>
  <headerFooter>
    <oddHeader>&amp;C&amp;G</oddHeader>
    <oddFooter>&amp;C&amp;G
IZIDECOR.RU
Санкт-Петербург, Литейный проспект 41
Санкт-Петербург, ул. Заставская 46 литер А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13</vt:i4>
      </vt:variant>
    </vt:vector>
  </HeadingPairs>
  <TitlesOfParts>
    <vt:vector size="14" baseType="lpstr">
      <vt:lpstr>Договор</vt:lpstr>
      <vt:lpstr>Договор!_ref_21267932</vt:lpstr>
      <vt:lpstr>Договор!_ref_21399097</vt:lpstr>
      <vt:lpstr>Договор!_ref_21602947</vt:lpstr>
      <vt:lpstr>Договор!_ref_21644131</vt:lpstr>
      <vt:lpstr>Договор!_ref_21644134</vt:lpstr>
      <vt:lpstr>Договор!_ref_21830081</vt:lpstr>
      <vt:lpstr>Договор!_ref_22563526</vt:lpstr>
      <vt:lpstr>Договор!_ref_22811750</vt:lpstr>
      <vt:lpstr>Договор!_ref_22867809</vt:lpstr>
      <vt:lpstr>Договор!_ref_22867810</vt:lpstr>
      <vt:lpstr>Договор!_ref_22867811</vt:lpstr>
      <vt:lpstr>Договор!_ref_22867812</vt:lpstr>
      <vt:lpstr>Договор!_ref_51449968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2020-09-09T08:20:57Z</dcterms:created>
  <dcterms:modified xsi:type="dcterms:W3CDTF">2020-09-09T08:21:38Z</dcterms:modified>
</cp:coreProperties>
</file>